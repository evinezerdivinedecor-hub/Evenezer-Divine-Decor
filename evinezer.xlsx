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.jebaraj\Downloads\"/>
    </mc:Choice>
  </mc:AlternateContent>
  <xr:revisionPtr revIDLastSave="0" documentId="13_ncr:1_{CB432982-DED3-4B7F-AA23-ED82CAA962A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N2" i="1"/>
  <c r="L3" i="1"/>
  <c r="N3" i="1"/>
  <c r="L4" i="1"/>
  <c r="N4" i="1"/>
  <c r="L5" i="1"/>
  <c r="L10" i="1" s="1"/>
  <c r="N5" i="1"/>
  <c r="L6" i="1"/>
  <c r="N6" i="1"/>
  <c r="L7" i="1"/>
  <c r="N7" i="1"/>
  <c r="L8" i="1"/>
  <c r="N8" i="1"/>
  <c r="L9" i="1"/>
  <c r="N9" i="1"/>
  <c r="J10" i="1"/>
  <c r="N10" i="1"/>
  <c r="H2" i="1"/>
  <c r="H3" i="1"/>
  <c r="H4" i="1"/>
  <c r="H5" i="1"/>
  <c r="H6" i="1"/>
  <c r="H9" i="1"/>
  <c r="H10" i="1"/>
  <c r="H13" i="1"/>
  <c r="H14" i="1"/>
  <c r="H15" i="1"/>
  <c r="H16" i="1"/>
  <c r="H17" i="1"/>
  <c r="H18" i="1"/>
  <c r="H19" i="1"/>
  <c r="H20" i="1"/>
  <c r="H21" i="1"/>
  <c r="H22" i="1"/>
  <c r="H23" i="1"/>
  <c r="H24" i="1"/>
  <c r="H26" i="1"/>
  <c r="H31" i="1"/>
  <c r="H33" i="1"/>
  <c r="H35" i="1"/>
  <c r="H36" i="1"/>
  <c r="H38" i="1"/>
  <c r="H39" i="1"/>
  <c r="H40" i="1"/>
  <c r="H43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6" i="1"/>
  <c r="F37" i="1"/>
  <c r="F38" i="1"/>
  <c r="F39" i="1"/>
  <c r="F40" i="1"/>
  <c r="F41" i="1"/>
  <c r="F42" i="1"/>
  <c r="F43" i="1"/>
  <c r="F44" i="1"/>
  <c r="F45" i="1"/>
  <c r="F46" i="1"/>
  <c r="O10" i="1" l="1"/>
  <c r="H47" i="1"/>
</calcChain>
</file>

<file path=xl/sharedStrings.xml><?xml version="1.0" encoding="utf-8"?>
<sst xmlns="http://schemas.openxmlformats.org/spreadsheetml/2006/main" count="53" uniqueCount="50">
  <si>
    <t>Sl No.</t>
  </si>
  <si>
    <t>Item</t>
  </si>
  <si>
    <t>Count</t>
  </si>
  <si>
    <t>Base Cost</t>
  </si>
  <si>
    <t>Disco Light</t>
  </si>
  <si>
    <t>Less</t>
  </si>
  <si>
    <t>Golden X-Mas Tree Stand</t>
  </si>
  <si>
    <t>Wodden Small Basket</t>
  </si>
  <si>
    <t>Santa in Car with Light</t>
  </si>
  <si>
    <t>Santain in Chair with Light</t>
  </si>
  <si>
    <t>2 Piece</t>
  </si>
  <si>
    <t>1 Piece</t>
  </si>
  <si>
    <t>Wine Bag</t>
  </si>
  <si>
    <t>Gift Box</t>
  </si>
  <si>
    <t>17 Piece</t>
  </si>
  <si>
    <t>Snow Man White</t>
  </si>
  <si>
    <t>Hanging Colorfull Grapes</t>
  </si>
  <si>
    <t>Angel Wings</t>
  </si>
  <si>
    <t>Snow Man Red</t>
  </si>
  <si>
    <t>Cherry Wreath</t>
  </si>
  <si>
    <t>Glass Bells with Cherry</t>
  </si>
  <si>
    <t>Red Velvet Balls</t>
  </si>
  <si>
    <t>Santa with Chair</t>
  </si>
  <si>
    <t>Small Deer</t>
  </si>
  <si>
    <t>Jewel Box</t>
  </si>
  <si>
    <t>X-Mas Light House</t>
  </si>
  <si>
    <t>Velvet Hanging</t>
  </si>
  <si>
    <t>Wodden Hanging</t>
  </si>
  <si>
    <t>3 Hair Bands</t>
  </si>
  <si>
    <t>6 Piece</t>
  </si>
  <si>
    <t>12 Piece</t>
  </si>
  <si>
    <t>3 Piece</t>
  </si>
  <si>
    <t>60 Piece</t>
  </si>
  <si>
    <t>Overall Cost</t>
  </si>
  <si>
    <t>Selling Cost</t>
  </si>
  <si>
    <t>Profit</t>
  </si>
  <si>
    <t>Santa furry face</t>
  </si>
  <si>
    <t>thermacol snow ball</t>
  </si>
  <si>
    <t>huge white socks</t>
  </si>
  <si>
    <t>Snow Balls Small</t>
  </si>
  <si>
    <t>Led Light ❌</t>
  </si>
  <si>
    <t>Small Snowman hanging - 12pcs</t>
  </si>
  <si>
    <t>3 Piece ❌</t>
  </si>
  <si>
    <t>hard thermacol deer</t>
  </si>
  <si>
    <t>6 Piece ❌</t>
  </si>
  <si>
    <t>6 pieces ❌</t>
  </si>
  <si>
    <t>wooden merry Christmas</t>
  </si>
  <si>
    <t xml:space="preserve">Velvet Tree (all pieces) </t>
  </si>
  <si>
    <t>Jingle Bells red</t>
  </si>
  <si>
    <t>jingle bell 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</si>
</sst>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ptos Narrow"/>
    </font>
    <font>
      <b/>
      <sz val="11"/>
      <color rgb="FF000000"/>
      <name val="Aptos Narrow"/>
    </font>
    <font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BE9F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/>
    <xf numFmtId="0" fontId="2" fillId="0" borderId="1" xfId="0" applyFont="1" applyBorder="1" applyAlignment="1"/>
    <xf numFmtId="1" fontId="2" fillId="0" borderId="1" xfId="0" applyNumberFormat="1" applyFont="1" applyBorder="1" applyAlignment="1"/>
    <xf numFmtId="0" fontId="2" fillId="0" borderId="2" xfId="0" applyFont="1" applyBorder="1" applyAlignment="1"/>
    <xf numFmtId="0" fontId="0" fillId="0" borderId="1" xfId="0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0/cellImage" Target="NUL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7"/>
  <sheetViews>
    <sheetView tabSelected="1" topLeftCell="A37" zoomScale="90" zoomScaleNormal="90" workbookViewId="0">
      <selection activeCell="I55" sqref="I55"/>
    </sheetView>
  </sheetViews>
  <sheetFormatPr defaultColWidth="10" defaultRowHeight="14.5" x14ac:dyDescent="0.35"/>
  <cols>
    <col min="1" max="1" width="5.7265625" bestFit="1" customWidth="1"/>
    <col min="2" max="2" width="27.36328125" bestFit="1" customWidth="1"/>
    <col min="3" max="3" width="6.08984375" bestFit="1" customWidth="1"/>
    <col min="4" max="4" width="9.1796875" bestFit="1" customWidth="1"/>
    <col min="5" max="5" width="4.6328125" bestFit="1" customWidth="1"/>
    <col min="6" max="6" width="11.08984375" bestFit="1" customWidth="1"/>
    <col min="7" max="7" width="10.81640625" bestFit="1" customWidth="1"/>
    <col min="8" max="8" width="7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33</v>
      </c>
      <c r="G1" s="1" t="s">
        <v>34</v>
      </c>
      <c r="H1" s="1" t="s">
        <v>35</v>
      </c>
    </row>
    <row r="2" spans="1:15" x14ac:dyDescent="0.35">
      <c r="A2" s="2">
        <v>1</v>
      </c>
      <c r="B2" s="2" t="s">
        <v>4</v>
      </c>
      <c r="C2" s="3">
        <v>4</v>
      </c>
      <c r="D2" s="2">
        <v>1380</v>
      </c>
      <c r="E2" s="2">
        <v>1</v>
      </c>
      <c r="F2" s="2">
        <f>D2*C2</f>
        <v>5520</v>
      </c>
      <c r="G2" s="5">
        <v>2599</v>
      </c>
      <c r="H2" s="5">
        <f>G2*C2</f>
        <v>10396</v>
      </c>
      <c r="J2">
        <v>150</v>
      </c>
      <c r="K2">
        <v>150</v>
      </c>
      <c r="L2">
        <f>J2*K2</f>
        <v>22500</v>
      </c>
      <c r="M2">
        <v>399</v>
      </c>
      <c r="N2">
        <f>M2*J2</f>
        <v>59850</v>
      </c>
    </row>
    <row r="3" spans="1:15" x14ac:dyDescent="0.35">
      <c r="A3" s="2">
        <v>2</v>
      </c>
      <c r="B3" s="2" t="s">
        <v>6</v>
      </c>
      <c r="C3" s="2">
        <v>1</v>
      </c>
      <c r="D3" s="2">
        <v>180</v>
      </c>
      <c r="E3" s="2"/>
      <c r="F3" s="2">
        <f>D3*C3</f>
        <v>180</v>
      </c>
      <c r="G3" s="5">
        <v>449</v>
      </c>
      <c r="H3" s="5">
        <f t="shared" ref="H3:H6" si="0">G3*C3</f>
        <v>449</v>
      </c>
      <c r="J3">
        <v>10</v>
      </c>
      <c r="K3">
        <v>400</v>
      </c>
      <c r="L3">
        <f t="shared" ref="L3:L9" si="1">J3*K3</f>
        <v>4000</v>
      </c>
      <c r="M3">
        <v>799</v>
      </c>
      <c r="N3">
        <f t="shared" ref="N3:N9" si="2">M3*J3</f>
        <v>7990</v>
      </c>
    </row>
    <row r="4" spans="1:15" x14ac:dyDescent="0.35">
      <c r="A4" s="2">
        <v>3</v>
      </c>
      <c r="B4" s="2" t="s">
        <v>7</v>
      </c>
      <c r="C4" s="2">
        <v>6</v>
      </c>
      <c r="D4" s="2">
        <v>120</v>
      </c>
      <c r="E4" s="2"/>
      <c r="F4" s="2">
        <f>D4*C4</f>
        <v>720</v>
      </c>
      <c r="G4" s="5">
        <v>549</v>
      </c>
      <c r="H4" s="5">
        <f t="shared" si="0"/>
        <v>3294</v>
      </c>
      <c r="J4">
        <v>10</v>
      </c>
      <c r="K4">
        <v>400</v>
      </c>
      <c r="L4">
        <f t="shared" si="1"/>
        <v>4000</v>
      </c>
      <c r="M4">
        <v>799</v>
      </c>
      <c r="N4">
        <f t="shared" si="2"/>
        <v>7990</v>
      </c>
    </row>
    <row r="5" spans="1:15" x14ac:dyDescent="0.35">
      <c r="A5" s="2">
        <v>4</v>
      </c>
      <c r="B5" s="2" t="s">
        <v>8</v>
      </c>
      <c r="C5" s="2">
        <v>3</v>
      </c>
      <c r="D5" s="2">
        <v>280</v>
      </c>
      <c r="E5" s="2"/>
      <c r="F5" s="2">
        <f>D5*C5</f>
        <v>840</v>
      </c>
      <c r="G5" s="5">
        <v>1299</v>
      </c>
      <c r="H5" s="5">
        <f t="shared" si="0"/>
        <v>3897</v>
      </c>
      <c r="J5">
        <v>10</v>
      </c>
      <c r="K5">
        <v>400</v>
      </c>
      <c r="L5">
        <f t="shared" si="1"/>
        <v>4000</v>
      </c>
      <c r="M5">
        <v>799</v>
      </c>
      <c r="N5">
        <f t="shared" si="2"/>
        <v>7990</v>
      </c>
    </row>
    <row r="6" spans="1:15" x14ac:dyDescent="0.35">
      <c r="A6" s="2">
        <v>5</v>
      </c>
      <c r="B6" s="2" t="s">
        <v>9</v>
      </c>
      <c r="C6" s="2">
        <v>3</v>
      </c>
      <c r="D6" s="2">
        <v>280</v>
      </c>
      <c r="E6" s="2"/>
      <c r="F6" s="2">
        <f>D6*C6</f>
        <v>840</v>
      </c>
      <c r="G6" s="5">
        <v>1299</v>
      </c>
      <c r="H6" s="5">
        <f t="shared" si="0"/>
        <v>3897</v>
      </c>
      <c r="J6">
        <v>10</v>
      </c>
      <c r="K6">
        <v>400</v>
      </c>
      <c r="L6">
        <f t="shared" si="1"/>
        <v>4000</v>
      </c>
      <c r="M6">
        <v>799</v>
      </c>
      <c r="N6">
        <f t="shared" si="2"/>
        <v>7990</v>
      </c>
    </row>
    <row r="7" spans="1:15" x14ac:dyDescent="0.35">
      <c r="A7" s="2"/>
      <c r="B7" s="2" t="s">
        <v>10</v>
      </c>
      <c r="C7" s="2">
        <v>2</v>
      </c>
      <c r="D7" s="2">
        <v>120</v>
      </c>
      <c r="E7" s="2"/>
      <c r="F7" s="2">
        <f>D7*C7</f>
        <v>240</v>
      </c>
      <c r="G7" s="5"/>
      <c r="H7" s="5"/>
      <c r="J7">
        <v>10</v>
      </c>
      <c r="K7">
        <v>400</v>
      </c>
      <c r="L7">
        <f t="shared" si="1"/>
        <v>4000</v>
      </c>
      <c r="M7">
        <v>799</v>
      </c>
      <c r="N7">
        <f t="shared" si="2"/>
        <v>7990</v>
      </c>
    </row>
    <row r="8" spans="1:15" x14ac:dyDescent="0.35">
      <c r="A8" s="2"/>
      <c r="B8" s="2" t="s">
        <v>11</v>
      </c>
      <c r="C8" s="2">
        <v>1</v>
      </c>
      <c r="D8" s="2">
        <v>280</v>
      </c>
      <c r="E8" s="2"/>
      <c r="F8" s="2">
        <f>D8*C8</f>
        <v>280</v>
      </c>
      <c r="G8" s="5"/>
      <c r="H8" s="5"/>
      <c r="J8">
        <v>25</v>
      </c>
      <c r="K8">
        <v>350</v>
      </c>
      <c r="L8">
        <f t="shared" si="1"/>
        <v>8750</v>
      </c>
      <c r="M8">
        <v>899</v>
      </c>
      <c r="N8">
        <f t="shared" si="2"/>
        <v>22475</v>
      </c>
    </row>
    <row r="9" spans="1:15" x14ac:dyDescent="0.35">
      <c r="A9" s="2">
        <v>6</v>
      </c>
      <c r="B9" s="2" t="s">
        <v>12</v>
      </c>
      <c r="C9" s="2">
        <v>10</v>
      </c>
      <c r="D9" s="2">
        <v>864</v>
      </c>
      <c r="E9" s="2"/>
      <c r="F9" s="2">
        <f>D9*C9</f>
        <v>8640</v>
      </c>
      <c r="G9" s="5">
        <v>649</v>
      </c>
      <c r="H9" s="5">
        <f>G9*C9</f>
        <v>6490</v>
      </c>
      <c r="J9">
        <v>25</v>
      </c>
      <c r="K9">
        <v>350</v>
      </c>
      <c r="L9">
        <f t="shared" si="1"/>
        <v>8750</v>
      </c>
      <c r="M9">
        <v>899</v>
      </c>
      <c r="N9">
        <f t="shared" si="2"/>
        <v>22475</v>
      </c>
    </row>
    <row r="10" spans="1:15" x14ac:dyDescent="0.35">
      <c r="A10" s="2">
        <v>7</v>
      </c>
      <c r="B10" s="2" t="s">
        <v>13</v>
      </c>
      <c r="C10" s="2">
        <v>6</v>
      </c>
      <c r="D10" s="2">
        <v>180</v>
      </c>
      <c r="E10" s="2"/>
      <c r="F10" s="2">
        <f>D10*C10</f>
        <v>1080</v>
      </c>
      <c r="G10" s="5">
        <v>499</v>
      </c>
      <c r="H10" s="5">
        <f>G10*C10</f>
        <v>2994</v>
      </c>
      <c r="J10">
        <f>SUM(J2:J9)</f>
        <v>250</v>
      </c>
      <c r="L10">
        <f t="shared" ref="L10" si="3">SUM(L2:L9)</f>
        <v>60000</v>
      </c>
      <c r="N10">
        <f>SUM(N2:N9)</f>
        <v>144750</v>
      </c>
      <c r="O10">
        <f>N10-L10</f>
        <v>84750</v>
      </c>
    </row>
    <row r="11" spans="1:15" x14ac:dyDescent="0.35">
      <c r="A11" s="2"/>
      <c r="B11" s="2" t="s">
        <v>11</v>
      </c>
      <c r="C11" s="2">
        <v>1</v>
      </c>
      <c r="D11" s="2">
        <v>2880</v>
      </c>
      <c r="E11" s="2"/>
      <c r="F11" s="2">
        <f>D11*C11</f>
        <v>2880</v>
      </c>
      <c r="G11" s="5"/>
      <c r="H11" s="5"/>
    </row>
    <row r="12" spans="1:15" x14ac:dyDescent="0.35">
      <c r="A12" s="2"/>
      <c r="B12" s="2" t="s">
        <v>14</v>
      </c>
      <c r="C12" s="2">
        <v>17</v>
      </c>
      <c r="D12" s="2">
        <v>217</v>
      </c>
      <c r="E12" s="2"/>
      <c r="F12" s="2">
        <f>D12*C12</f>
        <v>3689</v>
      </c>
      <c r="G12" s="5"/>
      <c r="H12" s="5"/>
    </row>
    <row r="13" spans="1:15" x14ac:dyDescent="0.35">
      <c r="A13" s="2">
        <v>8</v>
      </c>
      <c r="B13" s="2" t="s">
        <v>15</v>
      </c>
      <c r="C13" s="2">
        <v>3</v>
      </c>
      <c r="D13" s="2">
        <v>180</v>
      </c>
      <c r="E13" s="2"/>
      <c r="F13" s="2">
        <f>D13*C13</f>
        <v>540</v>
      </c>
      <c r="G13" s="5">
        <v>749</v>
      </c>
      <c r="H13" s="5">
        <f>G13*C13</f>
        <v>2247</v>
      </c>
    </row>
    <row r="14" spans="1:15" x14ac:dyDescent="0.35">
      <c r="A14" s="2">
        <v>9</v>
      </c>
      <c r="B14" s="2" t="s">
        <v>16</v>
      </c>
      <c r="C14" s="2">
        <v>12</v>
      </c>
      <c r="D14" s="2">
        <v>120</v>
      </c>
      <c r="E14" s="2"/>
      <c r="F14" s="2">
        <f>D14*C14</f>
        <v>1440</v>
      </c>
      <c r="G14" s="5">
        <v>349</v>
      </c>
      <c r="H14" s="5">
        <f>G14*C14</f>
        <v>4188</v>
      </c>
    </row>
    <row r="15" spans="1:15" x14ac:dyDescent="0.35">
      <c r="A15" s="2">
        <v>10</v>
      </c>
      <c r="B15" s="2" t="s">
        <v>17</v>
      </c>
      <c r="C15" s="2">
        <v>6</v>
      </c>
      <c r="D15" s="2">
        <v>120</v>
      </c>
      <c r="E15" s="2"/>
      <c r="F15" s="2">
        <f>D15*C15</f>
        <v>720</v>
      </c>
      <c r="G15" s="5">
        <v>699</v>
      </c>
      <c r="H15" s="5">
        <f>G15*C15</f>
        <v>4194</v>
      </c>
    </row>
    <row r="16" spans="1:15" x14ac:dyDescent="0.35">
      <c r="A16" s="2">
        <v>11</v>
      </c>
      <c r="B16" s="2" t="s">
        <v>18</v>
      </c>
      <c r="C16" s="2">
        <v>3</v>
      </c>
      <c r="D16" s="2">
        <v>180</v>
      </c>
      <c r="E16" s="2"/>
      <c r="F16" s="2">
        <f>D16*C16</f>
        <v>540</v>
      </c>
      <c r="G16" s="5">
        <v>849</v>
      </c>
      <c r="H16" s="5">
        <f>G16*C16</f>
        <v>2547</v>
      </c>
    </row>
    <row r="17" spans="1:8" x14ac:dyDescent="0.35">
      <c r="A17" s="2">
        <v>12</v>
      </c>
      <c r="B17" s="2" t="s">
        <v>37</v>
      </c>
      <c r="C17" s="2">
        <v>6</v>
      </c>
      <c r="D17" s="2">
        <v>180</v>
      </c>
      <c r="E17" s="2"/>
      <c r="F17" s="2">
        <f>D17*C17</f>
        <v>1080</v>
      </c>
      <c r="G17" s="5">
        <v>399</v>
      </c>
      <c r="H17" s="5">
        <f>G17*C17</f>
        <v>2394</v>
      </c>
    </row>
    <row r="18" spans="1:8" x14ac:dyDescent="0.35">
      <c r="A18" s="2">
        <v>13</v>
      </c>
      <c r="B18" s="2" t="s">
        <v>19</v>
      </c>
      <c r="C18" s="2">
        <v>3</v>
      </c>
      <c r="D18" s="2">
        <v>380</v>
      </c>
      <c r="E18" s="2"/>
      <c r="F18" s="2">
        <f>D18*C18</f>
        <v>1140</v>
      </c>
      <c r="G18" s="5">
        <v>749</v>
      </c>
      <c r="H18" s="5">
        <f>G18*C18</f>
        <v>2247</v>
      </c>
    </row>
    <row r="19" spans="1:8" x14ac:dyDescent="0.35">
      <c r="A19" s="2">
        <v>14</v>
      </c>
      <c r="B19" s="2" t="s">
        <v>38</v>
      </c>
      <c r="C19" s="2">
        <v>12</v>
      </c>
      <c r="D19" s="2">
        <v>380</v>
      </c>
      <c r="E19" s="2"/>
      <c r="F19" s="2">
        <f>D19*C19</f>
        <v>4560</v>
      </c>
      <c r="G19" s="5">
        <v>599</v>
      </c>
      <c r="H19" s="5">
        <f>G19*C19</f>
        <v>7188</v>
      </c>
    </row>
    <row r="20" spans="1:8" x14ac:dyDescent="0.35">
      <c r="A20" s="2">
        <v>15</v>
      </c>
      <c r="B20" s="2" t="s">
        <v>36</v>
      </c>
      <c r="C20" s="2">
        <v>1</v>
      </c>
      <c r="D20" s="2">
        <v>2280</v>
      </c>
      <c r="E20" s="2"/>
      <c r="F20" s="2">
        <f>D20*C20</f>
        <v>2280</v>
      </c>
      <c r="G20" s="5">
        <v>4500</v>
      </c>
      <c r="H20" s="5">
        <f>G20*C20</f>
        <v>4500</v>
      </c>
    </row>
    <row r="21" spans="1:8" x14ac:dyDescent="0.35">
      <c r="A21" s="2">
        <v>16</v>
      </c>
      <c r="B21" s="2" t="s">
        <v>46</v>
      </c>
      <c r="C21" s="2">
        <v>3</v>
      </c>
      <c r="D21" s="2">
        <v>380</v>
      </c>
      <c r="E21" s="2"/>
      <c r="F21" s="2">
        <f>D21*C21</f>
        <v>1140</v>
      </c>
      <c r="G21" s="5">
        <v>599</v>
      </c>
      <c r="H21" s="5">
        <f>G21*C21</f>
        <v>1797</v>
      </c>
    </row>
    <row r="22" spans="1:8" x14ac:dyDescent="0.35">
      <c r="A22" s="2">
        <v>17</v>
      </c>
      <c r="B22" s="2" t="s">
        <v>39</v>
      </c>
      <c r="C22" s="2">
        <v>2</v>
      </c>
      <c r="D22" s="2">
        <v>480</v>
      </c>
      <c r="E22" s="2"/>
      <c r="F22" s="2">
        <f>D22*C22</f>
        <v>960</v>
      </c>
      <c r="G22" s="5">
        <v>879</v>
      </c>
      <c r="H22" s="5">
        <f t="shared" ref="H22:H24" si="4">G22*C22</f>
        <v>1758</v>
      </c>
    </row>
    <row r="23" spans="1:8" x14ac:dyDescent="0.35">
      <c r="A23" s="2">
        <v>18</v>
      </c>
      <c r="B23" s="2" t="s">
        <v>20</v>
      </c>
      <c r="C23" s="2">
        <v>2</v>
      </c>
      <c r="D23" s="2">
        <v>680</v>
      </c>
      <c r="E23" s="2"/>
      <c r="F23" s="2">
        <f>D23*C23</f>
        <v>1360</v>
      </c>
      <c r="G23" s="5">
        <v>1349</v>
      </c>
      <c r="H23" s="5">
        <f t="shared" si="4"/>
        <v>2698</v>
      </c>
    </row>
    <row r="24" spans="1:8" x14ac:dyDescent="0.35">
      <c r="A24" s="2">
        <v>19</v>
      </c>
      <c r="B24" s="2" t="s">
        <v>21</v>
      </c>
      <c r="C24" s="2">
        <v>2</v>
      </c>
      <c r="D24" s="2">
        <v>980</v>
      </c>
      <c r="E24" s="2"/>
      <c r="F24" s="2">
        <f>D24*C24</f>
        <v>1960</v>
      </c>
      <c r="G24" s="5">
        <v>1799</v>
      </c>
      <c r="H24" s="5">
        <f t="shared" si="4"/>
        <v>3598</v>
      </c>
    </row>
    <row r="25" spans="1:8" x14ac:dyDescent="0.35">
      <c r="A25" s="2">
        <v>20</v>
      </c>
      <c r="B25" s="2" t="s">
        <v>29</v>
      </c>
      <c r="C25" s="2">
        <v>6</v>
      </c>
      <c r="D25" s="2">
        <v>180</v>
      </c>
      <c r="E25" s="2"/>
      <c r="F25" s="2">
        <f>D25*C25</f>
        <v>1080</v>
      </c>
      <c r="G25" s="5"/>
      <c r="H25" s="5"/>
    </row>
    <row r="26" spans="1:8" x14ac:dyDescent="0.35">
      <c r="A26" s="2">
        <v>21</v>
      </c>
      <c r="B26" s="2" t="s">
        <v>22</v>
      </c>
      <c r="C26" s="2">
        <v>16</v>
      </c>
      <c r="D26" s="2">
        <v>280</v>
      </c>
      <c r="E26" s="2"/>
      <c r="F26" s="2">
        <f>D26*C26</f>
        <v>4480</v>
      </c>
      <c r="G26" s="5">
        <v>599</v>
      </c>
      <c r="H26" s="5">
        <f>G26*C26</f>
        <v>9584</v>
      </c>
    </row>
    <row r="27" spans="1:8" x14ac:dyDescent="0.35">
      <c r="A27" s="2">
        <v>22</v>
      </c>
      <c r="B27" s="2" t="s">
        <v>40</v>
      </c>
      <c r="C27" s="2">
        <v>1</v>
      </c>
      <c r="D27" s="2">
        <v>1880</v>
      </c>
      <c r="E27" s="2"/>
      <c r="F27" s="2">
        <f>D27*C27</f>
        <v>1880</v>
      </c>
      <c r="G27" s="5"/>
      <c r="H27" s="5"/>
    </row>
    <row r="28" spans="1:8" x14ac:dyDescent="0.35">
      <c r="A28" s="2">
        <v>119</v>
      </c>
      <c r="B28" s="2" t="s">
        <v>10</v>
      </c>
      <c r="C28" s="2">
        <v>2</v>
      </c>
      <c r="D28" s="2">
        <v>432</v>
      </c>
      <c r="E28" s="2"/>
      <c r="F28" s="2">
        <f>D28*C28</f>
        <v>864</v>
      </c>
      <c r="G28" s="5"/>
      <c r="H28" s="5"/>
    </row>
    <row r="29" spans="1:8" x14ac:dyDescent="0.35">
      <c r="A29" s="2">
        <v>23</v>
      </c>
      <c r="B29" s="2" t="s">
        <v>41</v>
      </c>
      <c r="C29" s="2">
        <v>1</v>
      </c>
      <c r="D29" s="2">
        <v>480</v>
      </c>
      <c r="E29" s="2"/>
      <c r="F29" s="2">
        <f>D29*C29</f>
        <v>480</v>
      </c>
      <c r="G29" s="5"/>
      <c r="H29" s="5"/>
    </row>
    <row r="30" spans="1:8" x14ac:dyDescent="0.35">
      <c r="A30" s="2">
        <v>24</v>
      </c>
      <c r="B30" s="2" t="s">
        <v>42</v>
      </c>
      <c r="C30" s="2">
        <v>3</v>
      </c>
      <c r="D30" s="2">
        <v>480</v>
      </c>
      <c r="E30" s="2"/>
      <c r="F30" s="2">
        <f>D30*C30</f>
        <v>1440</v>
      </c>
      <c r="G30" s="5"/>
      <c r="H30" s="5"/>
    </row>
    <row r="31" spans="1:8" x14ac:dyDescent="0.35">
      <c r="A31" s="2">
        <v>25</v>
      </c>
      <c r="B31" s="2" t="s">
        <v>23</v>
      </c>
      <c r="C31" s="2">
        <v>6</v>
      </c>
      <c r="D31" s="2">
        <v>120</v>
      </c>
      <c r="E31" s="2"/>
      <c r="F31" s="2">
        <f>D31*C31</f>
        <v>720</v>
      </c>
      <c r="G31" s="5">
        <v>349</v>
      </c>
      <c r="H31" s="5">
        <f>G31*C31</f>
        <v>2094</v>
      </c>
    </row>
    <row r="32" spans="1:8" x14ac:dyDescent="0.35">
      <c r="A32" s="2">
        <v>26</v>
      </c>
      <c r="B32" s="2" t="s">
        <v>45</v>
      </c>
      <c r="C32" s="2">
        <v>6</v>
      </c>
      <c r="D32" s="2">
        <v>180</v>
      </c>
      <c r="E32" s="2"/>
      <c r="F32" s="2">
        <f>D32*C32</f>
        <v>1080</v>
      </c>
      <c r="G32" s="5"/>
      <c r="H32" s="5"/>
    </row>
    <row r="33" spans="1:8" x14ac:dyDescent="0.35">
      <c r="A33" s="2">
        <v>27</v>
      </c>
      <c r="B33" s="2" t="s">
        <v>43</v>
      </c>
      <c r="C33" s="2">
        <v>4</v>
      </c>
      <c r="D33" s="2">
        <v>380</v>
      </c>
      <c r="E33" s="2"/>
      <c r="F33" s="2">
        <f>D33*C33</f>
        <v>1520</v>
      </c>
      <c r="G33" s="5">
        <v>679</v>
      </c>
      <c r="H33" s="5">
        <f>G33*C33</f>
        <v>2716</v>
      </c>
    </row>
    <row r="34" spans="1:8" x14ac:dyDescent="0.35">
      <c r="A34" s="2">
        <v>28</v>
      </c>
      <c r="B34" s="2" t="s">
        <v>44</v>
      </c>
      <c r="C34" s="2">
        <v>6</v>
      </c>
      <c r="D34" s="2">
        <v>80</v>
      </c>
      <c r="E34" s="2"/>
      <c r="F34" s="2">
        <f>D34*C34</f>
        <v>480</v>
      </c>
      <c r="G34" s="5"/>
      <c r="H34" s="5"/>
    </row>
    <row r="35" spans="1:8" x14ac:dyDescent="0.35">
      <c r="A35" s="2">
        <v>29</v>
      </c>
      <c r="B35" s="2" t="s">
        <v>24</v>
      </c>
      <c r="C35" s="2">
        <v>3</v>
      </c>
      <c r="D35" s="2">
        <v>120</v>
      </c>
      <c r="E35" s="2"/>
      <c r="F35" s="2">
        <v>449</v>
      </c>
      <c r="G35" s="5">
        <v>699</v>
      </c>
      <c r="H35" s="5">
        <f>G35*C35</f>
        <v>2097</v>
      </c>
    </row>
    <row r="36" spans="1:8" x14ac:dyDescent="0.35">
      <c r="A36" s="2">
        <v>30</v>
      </c>
      <c r="B36" s="2" t="s">
        <v>25</v>
      </c>
      <c r="C36" s="2">
        <v>12</v>
      </c>
      <c r="D36" s="2">
        <v>80</v>
      </c>
      <c r="E36" s="2"/>
      <c r="F36" s="2">
        <f>D36*C36</f>
        <v>960</v>
      </c>
      <c r="G36" s="5">
        <v>549</v>
      </c>
      <c r="H36" s="5">
        <f>G36*C36</f>
        <v>6588</v>
      </c>
    </row>
    <row r="37" spans="1:8" x14ac:dyDescent="0.35">
      <c r="A37" s="2">
        <v>31</v>
      </c>
      <c r="B37" s="2" t="s">
        <v>49</v>
      </c>
      <c r="C37" s="2">
        <v>6</v>
      </c>
      <c r="D37" s="2">
        <v>100</v>
      </c>
      <c r="E37" s="2"/>
      <c r="F37" s="2">
        <f>D37*C37</f>
        <v>600</v>
      </c>
      <c r="G37" s="5"/>
      <c r="H37" s="5"/>
    </row>
    <row r="38" spans="1:8" x14ac:dyDescent="0.35">
      <c r="A38" s="2">
        <v>32</v>
      </c>
      <c r="B38" s="2" t="s">
        <v>48</v>
      </c>
      <c r="C38" s="2">
        <v>5</v>
      </c>
      <c r="D38" s="2">
        <v>180</v>
      </c>
      <c r="E38" s="2"/>
      <c r="F38" s="2">
        <f>D38*C38</f>
        <v>900</v>
      </c>
      <c r="G38" s="5">
        <v>549</v>
      </c>
      <c r="H38" s="5">
        <f t="shared" ref="H38:H40" si="5">G38*C38</f>
        <v>2745</v>
      </c>
    </row>
    <row r="39" spans="1:8" x14ac:dyDescent="0.35">
      <c r="A39" s="2">
        <v>33</v>
      </c>
      <c r="B39" s="2" t="s">
        <v>26</v>
      </c>
      <c r="C39" s="2">
        <v>9</v>
      </c>
      <c r="D39" s="2">
        <v>180</v>
      </c>
      <c r="E39" s="2"/>
      <c r="F39" s="2">
        <f>D39*C39</f>
        <v>1620</v>
      </c>
      <c r="G39" s="5">
        <v>250</v>
      </c>
      <c r="H39" s="5">
        <f t="shared" si="5"/>
        <v>2250</v>
      </c>
    </row>
    <row r="40" spans="1:8" x14ac:dyDescent="0.35">
      <c r="A40" s="2">
        <v>34</v>
      </c>
      <c r="B40" s="2" t="s">
        <v>47</v>
      </c>
      <c r="C40" s="2">
        <v>3</v>
      </c>
      <c r="D40" s="2">
        <v>180</v>
      </c>
      <c r="E40" s="2"/>
      <c r="F40" s="2">
        <f>D40*C40</f>
        <v>540</v>
      </c>
      <c r="G40" s="5">
        <v>899</v>
      </c>
      <c r="H40" s="5">
        <f t="shared" si="5"/>
        <v>2697</v>
      </c>
    </row>
    <row r="41" spans="1:8" x14ac:dyDescent="0.35">
      <c r="A41" s="2">
        <v>35</v>
      </c>
      <c r="B41" s="2" t="s">
        <v>27</v>
      </c>
      <c r="C41" s="2">
        <v>9</v>
      </c>
      <c r="D41" s="2">
        <v>280</v>
      </c>
      <c r="E41" s="2"/>
      <c r="F41" s="2">
        <f>D41*C41</f>
        <v>2520</v>
      </c>
      <c r="G41" s="5">
        <v>349</v>
      </c>
      <c r="H41" s="5"/>
    </row>
    <row r="42" spans="1:8" x14ac:dyDescent="0.35">
      <c r="A42" s="2">
        <v>36</v>
      </c>
      <c r="B42" s="2" t="s">
        <v>32</v>
      </c>
      <c r="C42" s="2">
        <v>60</v>
      </c>
      <c r="D42" s="2">
        <v>50</v>
      </c>
      <c r="E42" s="2"/>
      <c r="F42" s="2">
        <f>D42*C42</f>
        <v>3000</v>
      </c>
      <c r="G42" s="5"/>
      <c r="H42" s="5"/>
    </row>
    <row r="43" spans="1:8" x14ac:dyDescent="0.35">
      <c r="A43" s="2">
        <v>37</v>
      </c>
      <c r="B43" s="2" t="s">
        <v>28</v>
      </c>
      <c r="C43" s="2">
        <v>36</v>
      </c>
      <c r="D43" s="2">
        <v>60</v>
      </c>
      <c r="E43" s="2"/>
      <c r="F43" s="2">
        <f>D43*C43</f>
        <v>2160</v>
      </c>
      <c r="G43" s="5">
        <v>399</v>
      </c>
      <c r="H43" s="5">
        <f>G43*C43</f>
        <v>14364</v>
      </c>
    </row>
    <row r="44" spans="1:8" x14ac:dyDescent="0.35">
      <c r="A44" s="2"/>
      <c r="B44" s="2" t="s">
        <v>30</v>
      </c>
      <c r="C44" s="2">
        <v>12</v>
      </c>
      <c r="D44" s="2">
        <v>120</v>
      </c>
      <c r="E44" s="2"/>
      <c r="F44" s="2">
        <f>D44*C44</f>
        <v>1440</v>
      </c>
      <c r="G44" s="5"/>
      <c r="H44" s="5"/>
    </row>
    <row r="45" spans="1:8" x14ac:dyDescent="0.35">
      <c r="A45" s="2"/>
      <c r="B45" s="2" t="s">
        <v>31</v>
      </c>
      <c r="C45" s="2">
        <v>3</v>
      </c>
      <c r="D45" s="2">
        <v>180</v>
      </c>
      <c r="E45" s="2"/>
      <c r="F45" s="2">
        <f>D45*C45</f>
        <v>540</v>
      </c>
      <c r="G45" s="5"/>
      <c r="H45" s="5"/>
    </row>
    <row r="46" spans="1:8" x14ac:dyDescent="0.35">
      <c r="A46" s="2"/>
      <c r="B46" s="2" t="s">
        <v>29</v>
      </c>
      <c r="C46" s="2">
        <v>6</v>
      </c>
      <c r="D46" s="2">
        <v>480</v>
      </c>
      <c r="E46" s="2"/>
      <c r="F46" s="2">
        <f>D46*C46</f>
        <v>2880</v>
      </c>
      <c r="G46" s="5"/>
      <c r="H46" s="5"/>
    </row>
    <row r="47" spans="1:8" x14ac:dyDescent="0.35">
      <c r="F47" s="4"/>
      <c r="H47">
        <f>SUM(H2:H46)</f>
        <v>115908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Wilson</dc:creator>
  <cp:lastModifiedBy>Daniel Wilson</cp:lastModifiedBy>
  <dcterms:created xsi:type="dcterms:W3CDTF">2025-11-13T07:15:24Z</dcterms:created>
  <dcterms:modified xsi:type="dcterms:W3CDTF">2025-11-17T13:17:21Z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f8c2af0fa31d4bfcaf84ca67ffcad217</vt:lpwstr>
  </property>
</Properties>
</file>